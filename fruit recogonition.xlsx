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der Names from Image Data" sheetId="1" r:id="rId5"/>
  </sheets>
  <definedNames/>
  <calcPr/>
</workbook>
</file>

<file path=xl/sharedStrings.xml><?xml version="1.0" encoding="utf-8"?>
<sst xmlns="http://schemas.openxmlformats.org/spreadsheetml/2006/main" count="144" uniqueCount="105">
  <si>
    <t>Zinc</t>
  </si>
  <si>
    <t>Copper</t>
  </si>
  <si>
    <t>Iron</t>
  </si>
  <si>
    <t>Potassium</t>
  </si>
  <si>
    <t>Vitamin C</t>
  </si>
  <si>
    <t>Carbohydrates</t>
  </si>
  <si>
    <t>Protein</t>
  </si>
  <si>
    <t>Fat</t>
  </si>
  <si>
    <t>Calories</t>
  </si>
  <si>
    <t>Fiber</t>
  </si>
  <si>
    <t>Sugars</t>
  </si>
  <si>
    <t>Sodium</t>
  </si>
  <si>
    <t>Cholesterol</t>
  </si>
  <si>
    <t>Saturated Fat</t>
  </si>
  <si>
    <t>Absorbance Combinations</t>
  </si>
  <si>
    <t>References</t>
  </si>
  <si>
    <t>1. apple</t>
  </si>
  <si>
    <t xml:space="preserve"> </t>
  </si>
  <si>
    <t>Pair with almonds (healthy fats) to absorb fat-soluble vitamins, or spinach (iron) since apple's Vitamin C increases iron absorption.</t>
  </si>
  <si>
    <t>2. apricot</t>
  </si>
  <si>
    <t>Pair with yogurt (fat) for Vitamin A absorption.</t>
  </si>
  <si>
    <t>3. avacado</t>
  </si>
  <si>
    <t>Pair with tomatoes; avocado fats increase absorption of tomato's lycopene.</t>
  </si>
  <si>
    <t>4. banana</t>
  </si>
  <si>
    <t>Pair with peanut butter (fat) to stabilize blood sugar and absorb vitamins.</t>
  </si>
  <si>
    <t>5. bell pepper</t>
  </si>
  <si>
    <t>Pair with beans (iron); Vitamin C in bell peppers boosts non-heme iron absorption.</t>
  </si>
  <si>
    <t>6. blackberry</t>
  </si>
  <si>
    <t>Pair with walnuts (fats) to absorb fat-soluble vitamins.</t>
  </si>
  <si>
    <t>7. blueberry</t>
  </si>
  <si>
    <t>Pair with oatmeal (iron); Vitamin C boosts iron absorption.</t>
  </si>
  <si>
    <t>8. carambola</t>
  </si>
  <si>
    <t>Pair with cheese (fat) to absorb fat-soluble vitamins.</t>
  </si>
  <si>
    <t>9. cherry</t>
  </si>
  <si>
    <t>Pair with dark chocolate (fat/iron) for antioxidant synergy.</t>
  </si>
  <si>
    <t>10. cocunut</t>
  </si>
  <si>
    <t>Pair with carrots; coconut fats increase beta-carotene absorption.</t>
  </si>
  <si>
    <t>11. cranberry</t>
  </si>
  <si>
    <t>Pair with beef (iron); Vitamin C boosts iron absorption.</t>
  </si>
  <si>
    <t>12. cucumber</t>
  </si>
  <si>
    <t>Pair with olive oil to absorb Vitamin K.</t>
  </si>
  <si>
    <t>13. custard apple</t>
  </si>
  <si>
    <t>Pair with nuts (fats) for better vitamin absorption.</t>
  </si>
  <si>
    <t>14. dragon fruit</t>
  </si>
  <si>
    <t>Pair with iron-rich foods (lentils) as its Vitamin C aids iron absorption.</t>
  </si>
  <si>
    <t>15. eggplant</t>
  </si>
  <si>
    <t>Pair with olive oil to absorb its antioxidants (nasunin).</t>
  </si>
  <si>
    <t>16. elderberry</t>
  </si>
  <si>
    <t>Pair with fat source to absorb vitamins.</t>
  </si>
  <si>
    <t>17. gooseberry</t>
  </si>
  <si>
    <t>Pair with spinach (iron); high Vitamin C boosts iron absorption.</t>
  </si>
  <si>
    <t>18. grapefruit</t>
  </si>
  <si>
    <t>Pair with kale (iron); Vitamin C boosts non-heme iron absorption.</t>
  </si>
  <si>
    <t>19. grapes</t>
  </si>
  <si>
    <t>Pair with cheese (fat) for better fat-soluble vitamin uptake.</t>
  </si>
  <si>
    <t>20. guava</t>
  </si>
  <si>
    <t>Pair with lentils (iron); massive Vitamin C content strongly boosts iron absorption.</t>
  </si>
  <si>
    <t>21. jack fruit</t>
  </si>
  <si>
    <t>Pair with nuts (fat) to aid vitamin absorption.</t>
  </si>
  <si>
    <t>22. kiwi</t>
  </si>
  <si>
    <t>Pair with spinach (iron); Vitamin C boosts iron absorption.</t>
  </si>
  <si>
    <t>23. lemon</t>
  </si>
  <si>
    <t>Pair with green tea; lemon's Vitamin C increases absorption of green tea catechins.</t>
  </si>
  <si>
    <t>25. lychee</t>
  </si>
  <si>
    <t>Pair with iron-rich foods; Vitamin C boosts iron absorption.</t>
  </si>
  <si>
    <t>26. mango</t>
  </si>
  <si>
    <t>Pair with yogurt (fat) to absorb its high Vitamin A content.</t>
  </si>
  <si>
    <t>27. mulberry</t>
  </si>
  <si>
    <t>Pair with healthy fats to absorb fat-soluble vitamins.</t>
  </si>
  <si>
    <t>28. muskmelon</t>
  </si>
  <si>
    <t>Pair with nuts (fat) to absorb its beta-carotene (Vitamin A).</t>
  </si>
  <si>
    <t>29. orange</t>
  </si>
  <si>
    <t>Pair with beans (iron); Vitamin C boosts non-heme iron absorption.</t>
  </si>
  <si>
    <t>30. papaya</t>
  </si>
  <si>
    <t>Pair with healthy fats to absorb its beta-carotene (Vitamin A).</t>
  </si>
  <si>
    <t>31. passion fruit</t>
  </si>
  <si>
    <t>32. peach</t>
  </si>
  <si>
    <t>Pair with nuts (fat) to absorb fat-soluble vitamins.</t>
  </si>
  <si>
    <t>33. pear</t>
  </si>
  <si>
    <t>Pair with almonds (healthy fats) to absorb fat-soluble vitamins.</t>
  </si>
  <si>
    <t>34. persimmon</t>
  </si>
  <si>
    <t>Pair with cheese (fat) to absorb its Vitamin A.</t>
  </si>
  <si>
    <t>35. pineapple</t>
  </si>
  <si>
    <t>36. pitaya</t>
  </si>
  <si>
    <t>37. plum</t>
  </si>
  <si>
    <t>Pair with yogurt (fat) to absorb fat-soluble vitamins.</t>
  </si>
  <si>
    <t>38. pomelo</t>
  </si>
  <si>
    <t>39. pomogranate</t>
  </si>
  <si>
    <t>Pair with walnuts (fat) to absorb fat-soluble vitamins.</t>
  </si>
  <si>
    <t>40. pumpkin</t>
  </si>
  <si>
    <t>Pair with olive oil to absorb its massive beta-carotene (Vitamin A) content.</t>
  </si>
  <si>
    <t>41. raspberry</t>
  </si>
  <si>
    <t>42. sample</t>
  </si>
  <si>
    <t>N/A</t>
  </si>
  <si>
    <t>43. sapota</t>
  </si>
  <si>
    <t>44. strawberry</t>
  </si>
  <si>
    <t>45. tangerine</t>
  </si>
  <si>
    <t>Pair with lentils (iron); Vitamin C boosts non-heme iron absorption.</t>
  </si>
  <si>
    <t>46. tomato</t>
  </si>
  <si>
    <t>Pair with olive oil; fats significantly increase lycopene absorption.</t>
  </si>
  <si>
    <t>47. watermelon</t>
  </si>
  <si>
    <t>Pair with feta cheese (fat) to increase lycopene absorption.</t>
  </si>
  <si>
    <t>apple</t>
  </si>
  <si>
    <t>custard apple</t>
  </si>
  <si>
    <t>banana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</si>
</sst>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##&quot; mg&quot;"/>
    <numFmt numFmtId="165" formatCode="0 &quot;kcal&quot;"/>
    <numFmt numFmtId="166" formatCode="0.0 &quot;g&quot;"/>
    <numFmt numFmtId="167" formatCode="0.0 &quot;mg&quot;"/>
    <numFmt numFmtId="168" formatCode="m/d/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0"/>
    <col customWidth="1" min="3" max="3" width="7.63"/>
    <col customWidth="1" min="4" max="4" width="7.88"/>
    <col customWidth="1" min="5" max="5" width="8.75"/>
    <col customWidth="1" min="6" max="6" width="8.13"/>
    <col customWidth="1" min="7" max="7" width="11.63"/>
    <col customWidth="1" min="8" max="8" width="6.25"/>
    <col customWidth="1" min="9" max="9" width="5.63"/>
    <col customWidth="1" min="10" max="10" width="8.5"/>
    <col customWidth="1" min="11" max="11" width="5.63"/>
    <col customWidth="1" min="12" max="12" width="7.75"/>
    <col customWidth="1" min="13" max="13" width="7.13"/>
    <col customWidth="1" min="14" max="14" width="11.75"/>
    <col customWidth="1" min="15" max="15" width="9.38"/>
    <col customWidth="1" min="16" max="16" width="94.5"/>
    <col customWidth="1" min="17" max="17" width="23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</row>
    <row r="2">
      <c r="A2" s="3" t="s">
        <v>16</v>
      </c>
      <c r="B2" s="4">
        <v>0.07</v>
      </c>
      <c r="C2" s="4">
        <v>0.05</v>
      </c>
      <c r="D2" s="4" t="s">
        <v>17</v>
      </c>
      <c r="E2" s="4">
        <v>195.0</v>
      </c>
      <c r="F2" s="4">
        <v>8.4</v>
      </c>
      <c r="G2" s="4">
        <v>25.0</v>
      </c>
      <c r="H2" s="4">
        <v>0.5</v>
      </c>
      <c r="I2" s="4">
        <v>0.3</v>
      </c>
      <c r="J2" s="5">
        <v>130.0</v>
      </c>
      <c r="K2" s="6">
        <v>5.0</v>
      </c>
      <c r="L2" s="6">
        <v>25.0</v>
      </c>
      <c r="M2" s="7">
        <v>0.0</v>
      </c>
      <c r="N2" s="7">
        <v>0.0</v>
      </c>
      <c r="O2" s="6">
        <v>0.0</v>
      </c>
      <c r="P2" s="3" t="s">
        <v>18</v>
      </c>
      <c r="Q2" s="8" t="str">
        <f t="shared" ref="Q2:Q41" si="1">HYPERLINK("https://doi.org/10.15482/USDA.ADC/1504533", "10.15482/USDA.ADC/1504533")</f>
        <v>10.15482/USDA.ADC/1504533</v>
      </c>
    </row>
    <row r="3">
      <c r="A3" s="3" t="s">
        <v>19</v>
      </c>
      <c r="B3" s="4">
        <v>0.07</v>
      </c>
      <c r="C3" s="4">
        <v>0.03</v>
      </c>
      <c r="D3" s="4">
        <v>0.14</v>
      </c>
      <c r="E3" s="4">
        <v>90.0</v>
      </c>
      <c r="F3" s="4">
        <v>3.5</v>
      </c>
      <c r="G3" s="4">
        <v>3.9</v>
      </c>
      <c r="H3" s="4">
        <v>0.5</v>
      </c>
      <c r="I3" s="4">
        <v>0.1</v>
      </c>
      <c r="J3" s="5">
        <v>50.0</v>
      </c>
      <c r="K3" s="6">
        <v>2.0</v>
      </c>
      <c r="L3" s="6">
        <v>11.0</v>
      </c>
      <c r="M3" s="7">
        <v>1.0</v>
      </c>
      <c r="N3" s="7">
        <v>0.0</v>
      </c>
      <c r="O3" s="6">
        <v>0.0</v>
      </c>
      <c r="P3" s="3" t="s">
        <v>20</v>
      </c>
      <c r="Q3" s="8" t="str">
        <f t="shared" si="1"/>
        <v>10.15482/USDA.ADC/1504533</v>
      </c>
    </row>
    <row r="4">
      <c r="A4" s="3" t="s">
        <v>21</v>
      </c>
      <c r="B4" s="4">
        <v>1.29</v>
      </c>
      <c r="C4" s="4">
        <v>0.38</v>
      </c>
      <c r="D4" s="4">
        <v>1.1</v>
      </c>
      <c r="E4" s="4">
        <v>975.0</v>
      </c>
      <c r="F4" s="4">
        <v>20.0</v>
      </c>
      <c r="G4" s="4">
        <v>17.0</v>
      </c>
      <c r="H4" s="4">
        <v>4.0</v>
      </c>
      <c r="I4" s="4">
        <v>29.0</v>
      </c>
      <c r="J4" s="5">
        <v>50.0</v>
      </c>
      <c r="K4" s="6">
        <v>1.0</v>
      </c>
      <c r="L4" s="6">
        <v>0.0</v>
      </c>
      <c r="M4" s="7">
        <v>0.0</v>
      </c>
      <c r="N4" s="7">
        <v>0.0</v>
      </c>
      <c r="O4" s="6">
        <v>0.8</v>
      </c>
      <c r="P4" s="3" t="s">
        <v>22</v>
      </c>
      <c r="Q4" s="8" t="str">
        <f t="shared" si="1"/>
        <v>10.15482/USDA.ADC/1504533</v>
      </c>
    </row>
    <row r="5">
      <c r="A5" s="3" t="s">
        <v>23</v>
      </c>
      <c r="B5" s="4">
        <v>0.18</v>
      </c>
      <c r="C5" s="4">
        <v>0.09</v>
      </c>
      <c r="D5" s="4">
        <v>0.31</v>
      </c>
      <c r="E5" s="4">
        <v>422.0</v>
      </c>
      <c r="F5" s="4">
        <v>10.3</v>
      </c>
      <c r="G5" s="4">
        <v>27.0</v>
      </c>
      <c r="H5" s="4">
        <v>1.3</v>
      </c>
      <c r="I5" s="4">
        <v>0.4</v>
      </c>
      <c r="J5" s="5">
        <v>110.0</v>
      </c>
      <c r="K5" s="6">
        <v>3.0</v>
      </c>
      <c r="L5" s="6">
        <v>19.0</v>
      </c>
      <c r="M5" s="7">
        <v>0.0</v>
      </c>
      <c r="N5" s="7">
        <v>0.0</v>
      </c>
      <c r="O5" s="6">
        <v>0.0</v>
      </c>
      <c r="P5" s="3" t="s">
        <v>24</v>
      </c>
      <c r="Q5" s="8" t="str">
        <f t="shared" si="1"/>
        <v>10.15482/USDA.ADC/1504533</v>
      </c>
    </row>
    <row r="6">
      <c r="A6" s="3" t="s">
        <v>25</v>
      </c>
      <c r="B6" s="4">
        <v>0.3</v>
      </c>
      <c r="C6" s="4">
        <v>0.08</v>
      </c>
      <c r="D6" s="4">
        <v>0.51</v>
      </c>
      <c r="E6" s="4">
        <v>251.0</v>
      </c>
      <c r="F6" s="4">
        <v>152.0</v>
      </c>
      <c r="G6" s="4">
        <v>5.5</v>
      </c>
      <c r="H6" s="4">
        <v>1.2</v>
      </c>
      <c r="I6" s="4">
        <v>0.2</v>
      </c>
      <c r="J6" s="5">
        <v>25.0</v>
      </c>
      <c r="K6" s="6">
        <v>2.0</v>
      </c>
      <c r="L6" s="6">
        <v>4.0</v>
      </c>
      <c r="M6" s="7">
        <v>3.0</v>
      </c>
      <c r="N6" s="7">
        <v>0.0</v>
      </c>
      <c r="O6" s="6">
        <v>0.0</v>
      </c>
      <c r="P6" s="3" t="s">
        <v>26</v>
      </c>
      <c r="Q6" s="8" t="str">
        <f t="shared" si="1"/>
        <v>10.15482/USDA.ADC/1504533</v>
      </c>
    </row>
    <row r="7">
      <c r="A7" s="3" t="s">
        <v>27</v>
      </c>
      <c r="B7" s="4">
        <v>0.76</v>
      </c>
      <c r="C7" s="4">
        <v>0.24</v>
      </c>
      <c r="D7" s="4">
        <v>0.89</v>
      </c>
      <c r="E7" s="4">
        <v>233.0</v>
      </c>
      <c r="F7" s="4">
        <v>30.0</v>
      </c>
      <c r="G7" s="4">
        <v>14.0</v>
      </c>
      <c r="H7" s="4">
        <v>2.0</v>
      </c>
      <c r="I7" s="4">
        <v>0.7</v>
      </c>
      <c r="J7" s="5">
        <v>60.0</v>
      </c>
      <c r="K7" s="6">
        <v>8.0</v>
      </c>
      <c r="L7" s="6">
        <v>7.0</v>
      </c>
      <c r="M7" s="7">
        <v>1.0</v>
      </c>
      <c r="N7" s="7">
        <v>0.0</v>
      </c>
      <c r="O7" s="6">
        <v>0.0</v>
      </c>
      <c r="P7" s="3" t="s">
        <v>28</v>
      </c>
      <c r="Q7" s="8" t="str">
        <f t="shared" si="1"/>
        <v>10.15482/USDA.ADC/1504533</v>
      </c>
    </row>
    <row r="8">
      <c r="A8" s="3" t="s">
        <v>29</v>
      </c>
      <c r="B8" s="4">
        <v>0.24</v>
      </c>
      <c r="C8" s="4">
        <v>0.08</v>
      </c>
      <c r="D8" s="4">
        <v>0.41</v>
      </c>
      <c r="E8" s="4">
        <v>114.0</v>
      </c>
      <c r="F8" s="4">
        <v>14.4</v>
      </c>
      <c r="G8" s="4">
        <v>21.0</v>
      </c>
      <c r="H8" s="4">
        <v>1.1</v>
      </c>
      <c r="I8" s="4">
        <v>0.5</v>
      </c>
      <c r="J8" s="5">
        <v>80.0</v>
      </c>
      <c r="K8" s="6">
        <v>4.0</v>
      </c>
      <c r="L8" s="6">
        <v>15.0</v>
      </c>
      <c r="M8" s="7">
        <v>1.0</v>
      </c>
      <c r="N8" s="7">
        <v>0.0</v>
      </c>
      <c r="O8" s="6">
        <v>0.0</v>
      </c>
      <c r="P8" s="3" t="s">
        <v>30</v>
      </c>
      <c r="Q8" s="8" t="str">
        <f t="shared" si="1"/>
        <v>10.15482/USDA.ADC/1504533</v>
      </c>
    </row>
    <row r="9">
      <c r="A9" s="3" t="s">
        <v>31</v>
      </c>
      <c r="B9" s="4">
        <v>0.11</v>
      </c>
      <c r="C9" s="4">
        <v>0.12</v>
      </c>
      <c r="D9" s="4">
        <v>0.07</v>
      </c>
      <c r="E9" s="4">
        <v>121.0</v>
      </c>
      <c r="F9" s="4">
        <v>31.0</v>
      </c>
      <c r="G9" s="4">
        <v>6.0</v>
      </c>
      <c r="H9" s="4">
        <v>0.9</v>
      </c>
      <c r="I9" s="4">
        <v>0.3</v>
      </c>
      <c r="J9" s="5">
        <v>40.0</v>
      </c>
      <c r="K9" s="6">
        <v>3.0</v>
      </c>
      <c r="L9" s="6">
        <v>5.0</v>
      </c>
      <c r="M9" s="7">
        <v>2.0</v>
      </c>
      <c r="N9" s="7">
        <v>0.0</v>
      </c>
      <c r="O9" s="6">
        <v>0.0</v>
      </c>
      <c r="P9" s="3" t="s">
        <v>32</v>
      </c>
      <c r="Q9" s="8" t="str">
        <f t="shared" si="1"/>
        <v>10.15482/USDA.ADC/1504533</v>
      </c>
    </row>
    <row r="10">
      <c r="A10" s="3" t="s">
        <v>33</v>
      </c>
      <c r="B10" s="4">
        <v>0.1</v>
      </c>
      <c r="C10" s="4">
        <v>0.08</v>
      </c>
      <c r="D10" s="4">
        <v>0.4</v>
      </c>
      <c r="E10" s="4">
        <v>268.0</v>
      </c>
      <c r="F10" s="4">
        <v>9.7</v>
      </c>
      <c r="G10" s="4">
        <v>22.0</v>
      </c>
      <c r="H10" s="4">
        <v>1.5</v>
      </c>
      <c r="I10" s="4">
        <v>0.3</v>
      </c>
      <c r="J10" s="5">
        <v>90.0</v>
      </c>
      <c r="K10" s="6">
        <v>3.0</v>
      </c>
      <c r="L10" s="6">
        <v>18.0</v>
      </c>
      <c r="M10" s="7">
        <v>0.0</v>
      </c>
      <c r="N10" s="7">
        <v>0.0</v>
      </c>
      <c r="O10" s="6">
        <v>0.0</v>
      </c>
      <c r="P10" s="3" t="s">
        <v>34</v>
      </c>
      <c r="Q10" s="8" t="str">
        <f t="shared" si="1"/>
        <v>10.15482/USDA.ADC/1504533</v>
      </c>
    </row>
    <row r="11">
      <c r="A11" s="3" t="s">
        <v>35</v>
      </c>
      <c r="B11" s="4">
        <v>0.88</v>
      </c>
      <c r="C11" s="4">
        <v>0.35</v>
      </c>
      <c r="D11" s="4">
        <v>1.94</v>
      </c>
      <c r="E11" s="4">
        <v>285.0</v>
      </c>
      <c r="F11" s="4">
        <v>2.6</v>
      </c>
      <c r="G11" s="4">
        <v>12.0</v>
      </c>
      <c r="H11" s="4">
        <v>2.7</v>
      </c>
      <c r="I11" s="4">
        <v>27.0</v>
      </c>
      <c r="J11" s="5">
        <v>280.0</v>
      </c>
      <c r="K11" s="6">
        <v>7.0</v>
      </c>
      <c r="L11" s="6">
        <v>5.0</v>
      </c>
      <c r="M11" s="7">
        <v>15.0</v>
      </c>
      <c r="N11" s="7">
        <v>0.0</v>
      </c>
      <c r="O11" s="6">
        <v>25.0</v>
      </c>
      <c r="P11" s="3" t="s">
        <v>36</v>
      </c>
      <c r="Q11" s="8" t="str">
        <f t="shared" si="1"/>
        <v>10.15482/USDA.ADC/1504533</v>
      </c>
    </row>
    <row r="12">
      <c r="A12" s="3" t="s">
        <v>37</v>
      </c>
      <c r="B12" s="4">
        <v>0.1</v>
      </c>
      <c r="C12" s="4">
        <v>0.06</v>
      </c>
      <c r="D12" s="4">
        <v>0.25</v>
      </c>
      <c r="E12" s="4">
        <v>85.0</v>
      </c>
      <c r="F12" s="4">
        <v>13.0</v>
      </c>
      <c r="G12" s="4">
        <v>12.0</v>
      </c>
      <c r="H12" s="4">
        <v>0.4</v>
      </c>
      <c r="I12" s="4">
        <v>0.1</v>
      </c>
      <c r="J12" s="5">
        <v>45.0</v>
      </c>
      <c r="K12" s="6">
        <v>4.0</v>
      </c>
      <c r="L12" s="6">
        <v>4.0</v>
      </c>
      <c r="M12" s="7">
        <v>2.0</v>
      </c>
      <c r="N12" s="7">
        <v>0.0</v>
      </c>
      <c r="O12" s="6">
        <v>0.0</v>
      </c>
      <c r="P12" s="3" t="s">
        <v>38</v>
      </c>
      <c r="Q12" s="8" t="str">
        <f t="shared" si="1"/>
        <v>10.15482/USDA.ADC/1504533</v>
      </c>
    </row>
    <row r="13">
      <c r="A13" s="3" t="s">
        <v>39</v>
      </c>
      <c r="B13" s="4">
        <v>0.4</v>
      </c>
      <c r="C13" s="4">
        <v>0.08</v>
      </c>
      <c r="D13" s="4">
        <v>0.56</v>
      </c>
      <c r="E13" s="4">
        <v>295.0</v>
      </c>
      <c r="F13" s="4">
        <v>5.6</v>
      </c>
      <c r="G13" s="4">
        <v>7.0</v>
      </c>
      <c r="H13" s="4">
        <v>1.3</v>
      </c>
      <c r="I13" s="4">
        <v>0.2</v>
      </c>
      <c r="J13" s="5">
        <v>15.0</v>
      </c>
      <c r="K13" s="6">
        <v>1.0</v>
      </c>
      <c r="L13" s="6">
        <v>2.0</v>
      </c>
      <c r="M13" s="7">
        <v>2.0</v>
      </c>
      <c r="N13" s="7">
        <v>0.0</v>
      </c>
      <c r="O13" s="6">
        <v>0.0</v>
      </c>
      <c r="P13" s="3" t="s">
        <v>40</v>
      </c>
      <c r="Q13" s="8" t="str">
        <f t="shared" si="1"/>
        <v>10.15482/USDA.ADC/1504533</v>
      </c>
    </row>
    <row r="14">
      <c r="A14" s="3" t="s">
        <v>41</v>
      </c>
      <c r="B14" s="4">
        <v>0.1</v>
      </c>
      <c r="C14" s="4">
        <v>0.09</v>
      </c>
      <c r="D14" s="4">
        <v>0.6</v>
      </c>
      <c r="E14" s="4">
        <v>247.0</v>
      </c>
      <c r="F14" s="4">
        <v>36.3</v>
      </c>
      <c r="G14" s="4">
        <v>23.0</v>
      </c>
      <c r="H14" s="4">
        <v>2.0</v>
      </c>
      <c r="I14" s="4">
        <v>0.3</v>
      </c>
      <c r="J14" s="5">
        <v>100.0</v>
      </c>
      <c r="K14" s="6">
        <v>2.0</v>
      </c>
      <c r="L14" s="6">
        <v>23.0</v>
      </c>
      <c r="M14" s="7">
        <v>9.0</v>
      </c>
      <c r="N14" s="7">
        <v>0.0</v>
      </c>
      <c r="O14" s="6">
        <v>0.0</v>
      </c>
      <c r="P14" s="3" t="s">
        <v>42</v>
      </c>
      <c r="Q14" s="8" t="str">
        <f t="shared" si="1"/>
        <v>10.15482/USDA.ADC/1504533</v>
      </c>
    </row>
    <row r="15">
      <c r="A15" s="3" t="s">
        <v>43</v>
      </c>
      <c r="B15" s="4">
        <v>0.3</v>
      </c>
      <c r="C15" s="4">
        <v>0.1</v>
      </c>
      <c r="D15" s="4">
        <v>1.3</v>
      </c>
      <c r="E15" s="4">
        <v>230.0</v>
      </c>
      <c r="F15" s="4">
        <v>9.0</v>
      </c>
      <c r="G15" s="4">
        <v>22.0</v>
      </c>
      <c r="H15" s="4">
        <v>2.0</v>
      </c>
      <c r="I15" s="4">
        <v>1.5</v>
      </c>
      <c r="J15" s="5">
        <v>60.0</v>
      </c>
      <c r="K15" s="6">
        <v>3.0</v>
      </c>
      <c r="L15" s="6">
        <v>8.0</v>
      </c>
      <c r="M15" s="7">
        <v>0.0</v>
      </c>
      <c r="N15" s="7">
        <v>0.0</v>
      </c>
      <c r="O15" s="6">
        <v>0.0</v>
      </c>
      <c r="P15" s="3" t="s">
        <v>44</v>
      </c>
      <c r="Q15" s="8" t="str">
        <f t="shared" si="1"/>
        <v>10.15482/USDA.ADC/1504533</v>
      </c>
    </row>
    <row r="16">
      <c r="A16" s="3" t="s">
        <v>45</v>
      </c>
      <c r="B16" s="4">
        <v>0.13</v>
      </c>
      <c r="C16" s="4">
        <v>0.07</v>
      </c>
      <c r="D16" s="4">
        <v>0.19</v>
      </c>
      <c r="E16" s="4">
        <v>188.0</v>
      </c>
      <c r="F16" s="4">
        <v>1.8</v>
      </c>
      <c r="G16" s="4">
        <v>4.8</v>
      </c>
      <c r="H16" s="4">
        <v>0.8</v>
      </c>
      <c r="I16" s="4">
        <v>0.1</v>
      </c>
      <c r="J16" s="5">
        <v>20.0</v>
      </c>
      <c r="K16" s="6">
        <v>3.0</v>
      </c>
      <c r="L16" s="6">
        <v>3.0</v>
      </c>
      <c r="M16" s="7">
        <v>2.0</v>
      </c>
      <c r="N16" s="7">
        <v>0.0</v>
      </c>
      <c r="O16" s="6">
        <v>0.0</v>
      </c>
      <c r="P16" s="3" t="s">
        <v>46</v>
      </c>
      <c r="Q16" s="8" t="str">
        <f t="shared" si="1"/>
        <v>10.15482/USDA.ADC/1504533</v>
      </c>
    </row>
    <row r="17">
      <c r="A17" s="3" t="s">
        <v>47</v>
      </c>
      <c r="B17" s="4">
        <v>0.16</v>
      </c>
      <c r="C17" s="4">
        <v>0.09</v>
      </c>
      <c r="D17" s="4">
        <v>2.32</v>
      </c>
      <c r="E17" s="4">
        <v>406.0</v>
      </c>
      <c r="F17" s="4">
        <v>52.2</v>
      </c>
      <c r="G17" s="4">
        <v>27.0</v>
      </c>
      <c r="H17" s="4">
        <v>1.0</v>
      </c>
      <c r="I17" s="4">
        <v>0.7</v>
      </c>
      <c r="J17" s="5">
        <v>70.0</v>
      </c>
      <c r="K17" s="6">
        <v>7.0</v>
      </c>
      <c r="L17" s="6">
        <v>0.0</v>
      </c>
      <c r="M17" s="7">
        <v>0.0</v>
      </c>
      <c r="N17" s="7">
        <v>0.0</v>
      </c>
      <c r="O17" s="6">
        <v>0.0</v>
      </c>
      <c r="P17" s="3" t="s">
        <v>48</v>
      </c>
      <c r="Q17" s="8" t="str">
        <f t="shared" si="1"/>
        <v>10.15482/USDA.ADC/1504533</v>
      </c>
    </row>
    <row r="18">
      <c r="A18" s="3" t="s">
        <v>49</v>
      </c>
      <c r="B18" s="4">
        <v>0.18</v>
      </c>
      <c r="C18" s="4">
        <v>0.11</v>
      </c>
      <c r="D18" s="4">
        <v>0.47</v>
      </c>
      <c r="E18" s="4">
        <v>297.0</v>
      </c>
      <c r="F18" s="4">
        <v>41.6</v>
      </c>
      <c r="G18" s="4">
        <v>15.0</v>
      </c>
      <c r="H18" s="4">
        <v>1.3</v>
      </c>
      <c r="I18" s="4">
        <v>0.9</v>
      </c>
      <c r="J18" s="5">
        <v>45.0</v>
      </c>
      <c r="K18" s="6">
        <v>4.0</v>
      </c>
      <c r="L18" s="6">
        <v>0.0</v>
      </c>
      <c r="M18" s="7">
        <v>1.0</v>
      </c>
      <c r="N18" s="7">
        <v>0.0</v>
      </c>
      <c r="O18" s="6">
        <v>0.0</v>
      </c>
      <c r="P18" s="3" t="s">
        <v>50</v>
      </c>
      <c r="Q18" s="8" t="str">
        <f t="shared" si="1"/>
        <v>10.15482/USDA.ADC/1504533</v>
      </c>
    </row>
    <row r="19">
      <c r="A19" s="3" t="s">
        <v>51</v>
      </c>
      <c r="B19" s="4">
        <v>0.09</v>
      </c>
      <c r="C19" s="4">
        <v>0.04</v>
      </c>
      <c r="D19" s="4">
        <v>0.11</v>
      </c>
      <c r="E19" s="4">
        <v>166.0</v>
      </c>
      <c r="F19" s="4">
        <v>38.4</v>
      </c>
      <c r="G19" s="4">
        <v>10.0</v>
      </c>
      <c r="H19" s="4">
        <v>0.8</v>
      </c>
      <c r="I19" s="4">
        <v>0.2</v>
      </c>
      <c r="J19" s="5">
        <v>60.0</v>
      </c>
      <c r="K19" s="6">
        <v>2.0</v>
      </c>
      <c r="L19" s="6">
        <v>11.0</v>
      </c>
      <c r="M19" s="7">
        <v>0.0</v>
      </c>
      <c r="N19" s="7">
        <v>0.0</v>
      </c>
      <c r="O19" s="6">
        <v>0.0</v>
      </c>
      <c r="P19" s="3" t="s">
        <v>52</v>
      </c>
      <c r="Q19" s="8" t="str">
        <f t="shared" si="1"/>
        <v>10.15482/USDA.ADC/1504533</v>
      </c>
    </row>
    <row r="20">
      <c r="A20" s="3" t="s">
        <v>53</v>
      </c>
      <c r="B20" s="4">
        <v>0.11</v>
      </c>
      <c r="C20" s="4">
        <v>0.19</v>
      </c>
      <c r="D20" s="4">
        <v>0.54</v>
      </c>
      <c r="E20" s="4">
        <v>288.0</v>
      </c>
      <c r="F20" s="4">
        <v>4.8</v>
      </c>
      <c r="G20" s="4">
        <v>27.0</v>
      </c>
      <c r="H20" s="4">
        <v>1.0</v>
      </c>
      <c r="I20" s="4">
        <v>0.2</v>
      </c>
      <c r="J20" s="5">
        <v>90.0</v>
      </c>
      <c r="K20" s="6">
        <v>1.0</v>
      </c>
      <c r="L20" s="6">
        <v>20.0</v>
      </c>
      <c r="M20" s="7">
        <v>15.0</v>
      </c>
      <c r="N20" s="7">
        <v>0.0</v>
      </c>
      <c r="O20" s="6">
        <v>0.0</v>
      </c>
      <c r="P20" s="3" t="s">
        <v>54</v>
      </c>
      <c r="Q20" s="8" t="str">
        <f t="shared" si="1"/>
        <v>10.15482/USDA.ADC/1504533</v>
      </c>
    </row>
    <row r="21">
      <c r="A21" s="3" t="s">
        <v>55</v>
      </c>
      <c r="B21" s="4">
        <v>0.13</v>
      </c>
      <c r="C21" s="4">
        <v>0.13</v>
      </c>
      <c r="D21" s="4">
        <v>0.14</v>
      </c>
      <c r="E21" s="4">
        <v>229.0</v>
      </c>
      <c r="F21" s="4">
        <v>125.0</v>
      </c>
      <c r="G21" s="4">
        <v>8.0</v>
      </c>
      <c r="H21" s="4">
        <v>1.4</v>
      </c>
      <c r="I21" s="4">
        <v>0.5</v>
      </c>
      <c r="J21" s="5">
        <v>40.0</v>
      </c>
      <c r="K21" s="6">
        <v>5.0</v>
      </c>
      <c r="L21" s="6">
        <v>5.0</v>
      </c>
      <c r="M21" s="7">
        <v>2.0</v>
      </c>
      <c r="N21" s="7">
        <v>0.0</v>
      </c>
      <c r="O21" s="6">
        <v>0.0</v>
      </c>
      <c r="P21" s="3" t="s">
        <v>56</v>
      </c>
      <c r="Q21" s="8" t="str">
        <f t="shared" si="1"/>
        <v>10.15482/USDA.ADC/1504533</v>
      </c>
    </row>
    <row r="22">
      <c r="A22" s="3" t="s">
        <v>57</v>
      </c>
      <c r="B22" s="4">
        <v>0.21</v>
      </c>
      <c r="C22" s="4">
        <v>0.12</v>
      </c>
      <c r="D22" s="4">
        <v>0.38</v>
      </c>
      <c r="E22" s="4">
        <v>739.0</v>
      </c>
      <c r="F22" s="4">
        <v>22.6</v>
      </c>
      <c r="G22" s="4">
        <v>38.0</v>
      </c>
      <c r="H22" s="4">
        <v>2.8</v>
      </c>
      <c r="I22" s="4">
        <v>1.0</v>
      </c>
      <c r="J22" s="5">
        <v>95.0</v>
      </c>
      <c r="K22" s="6">
        <v>1.0</v>
      </c>
      <c r="L22" s="6">
        <v>19.0</v>
      </c>
      <c r="M22" s="7">
        <v>2.0</v>
      </c>
      <c r="N22" s="7">
        <v>0.0</v>
      </c>
      <c r="O22" s="6">
        <v>0.0</v>
      </c>
      <c r="P22" s="3" t="s">
        <v>58</v>
      </c>
      <c r="Q22" s="8" t="str">
        <f t="shared" si="1"/>
        <v>10.15482/USDA.ADC/1504533</v>
      </c>
    </row>
    <row r="23">
      <c r="A23" s="3" t="s">
        <v>59</v>
      </c>
      <c r="B23" s="4">
        <v>0.1</v>
      </c>
      <c r="C23" s="4">
        <v>0.09</v>
      </c>
      <c r="D23" s="4">
        <v>0.21</v>
      </c>
      <c r="E23" s="4">
        <v>215.0</v>
      </c>
      <c r="F23" s="4">
        <v>64.0</v>
      </c>
      <c r="G23" s="4">
        <v>10.0</v>
      </c>
      <c r="H23" s="4">
        <v>0.8</v>
      </c>
      <c r="I23" s="4">
        <v>0.4</v>
      </c>
      <c r="J23" s="5">
        <v>40.0</v>
      </c>
      <c r="K23" s="6">
        <v>2.0</v>
      </c>
      <c r="L23" s="6">
        <v>6.0</v>
      </c>
      <c r="M23" s="7">
        <v>1.0</v>
      </c>
      <c r="N23" s="7">
        <v>0.0</v>
      </c>
      <c r="O23" s="6">
        <v>0.0</v>
      </c>
      <c r="P23" s="3" t="s">
        <v>60</v>
      </c>
      <c r="Q23" s="8" t="str">
        <f t="shared" si="1"/>
        <v>10.15482/USDA.ADC/1504533</v>
      </c>
    </row>
    <row r="24">
      <c r="A24" s="3" t="s">
        <v>61</v>
      </c>
      <c r="B24" s="4">
        <v>0.03</v>
      </c>
      <c r="C24" s="4">
        <v>0.02</v>
      </c>
      <c r="D24" s="4">
        <v>0.35</v>
      </c>
      <c r="E24" s="4">
        <v>80.0</v>
      </c>
      <c r="F24" s="4">
        <v>30.7</v>
      </c>
      <c r="G24" s="4">
        <v>5.4</v>
      </c>
      <c r="H24" s="4">
        <v>0.6</v>
      </c>
      <c r="I24" s="4">
        <v>0.2</v>
      </c>
      <c r="J24" s="5">
        <v>15.0</v>
      </c>
      <c r="K24" s="6">
        <v>1.0</v>
      </c>
      <c r="L24" s="6">
        <v>1.0</v>
      </c>
      <c r="M24" s="7">
        <v>1.0</v>
      </c>
      <c r="N24" s="7">
        <v>0.0</v>
      </c>
      <c r="O24" s="6">
        <v>0.0</v>
      </c>
      <c r="P24" s="3" t="s">
        <v>62</v>
      </c>
      <c r="Q24" s="8" t="str">
        <f t="shared" si="1"/>
        <v>10.15482/USDA.ADC/1504533</v>
      </c>
    </row>
    <row r="25">
      <c r="A25" s="3" t="s">
        <v>63</v>
      </c>
      <c r="B25" s="4">
        <v>0.13</v>
      </c>
      <c r="C25" s="4">
        <v>0.28</v>
      </c>
      <c r="D25" s="4">
        <v>0.59</v>
      </c>
      <c r="E25" s="4">
        <v>324.0</v>
      </c>
      <c r="F25" s="4">
        <v>135.0</v>
      </c>
      <c r="G25" s="4">
        <v>31.0</v>
      </c>
      <c r="H25" s="4">
        <v>1.6</v>
      </c>
      <c r="I25" s="4">
        <v>0.8</v>
      </c>
      <c r="J25" s="5">
        <v>65.0</v>
      </c>
      <c r="K25" s="6">
        <v>1.0</v>
      </c>
      <c r="L25" s="6">
        <v>15.0</v>
      </c>
      <c r="M25" s="7">
        <v>1.0</v>
      </c>
      <c r="N25" s="7">
        <v>0.0</v>
      </c>
      <c r="O25" s="6">
        <v>0.0</v>
      </c>
      <c r="P25" s="3" t="s">
        <v>64</v>
      </c>
      <c r="Q25" s="8" t="str">
        <f t="shared" si="1"/>
        <v>10.15482/USDA.ADC/1504533</v>
      </c>
    </row>
    <row r="26">
      <c r="A26" s="3" t="s">
        <v>65</v>
      </c>
      <c r="B26" s="4">
        <v>0.15</v>
      </c>
      <c r="C26" s="4">
        <v>0.18</v>
      </c>
      <c r="D26" s="4">
        <v>0.26</v>
      </c>
      <c r="E26" s="4">
        <v>277.0</v>
      </c>
      <c r="F26" s="4">
        <v>60.0</v>
      </c>
      <c r="G26" s="4">
        <v>25.0</v>
      </c>
      <c r="H26" s="4">
        <v>1.4</v>
      </c>
      <c r="I26" s="4">
        <v>0.6</v>
      </c>
      <c r="J26" s="5">
        <v>100.0</v>
      </c>
      <c r="K26" s="6">
        <v>3.0</v>
      </c>
      <c r="L26" s="6">
        <v>23.0</v>
      </c>
      <c r="M26" s="7">
        <v>2.0</v>
      </c>
      <c r="N26" s="7">
        <v>0.0</v>
      </c>
      <c r="O26" s="6">
        <v>0.0</v>
      </c>
      <c r="P26" s="3" t="s">
        <v>66</v>
      </c>
      <c r="Q26" s="8" t="str">
        <f t="shared" si="1"/>
        <v>10.15482/USDA.ADC/1504533</v>
      </c>
    </row>
    <row r="27">
      <c r="A27" s="3" t="s">
        <v>67</v>
      </c>
      <c r="B27" s="4">
        <v>0.17</v>
      </c>
      <c r="C27" s="4">
        <v>0.08</v>
      </c>
      <c r="D27" s="4">
        <v>2.59</v>
      </c>
      <c r="E27" s="4">
        <v>271.0</v>
      </c>
      <c r="F27" s="4">
        <v>51.0</v>
      </c>
      <c r="G27" s="4">
        <v>14.0</v>
      </c>
      <c r="H27" s="4">
        <v>2.0</v>
      </c>
      <c r="I27" s="4">
        <v>0.5</v>
      </c>
      <c r="J27" s="5">
        <v>40.0</v>
      </c>
      <c r="K27" s="6">
        <v>2.0</v>
      </c>
      <c r="L27" s="6">
        <v>8.0</v>
      </c>
      <c r="M27" s="7">
        <v>10.0</v>
      </c>
      <c r="N27" s="7">
        <v>0.0</v>
      </c>
      <c r="O27" s="6">
        <v>0.0</v>
      </c>
      <c r="P27" s="3" t="s">
        <v>68</v>
      </c>
      <c r="Q27" s="8" t="str">
        <f t="shared" si="1"/>
        <v>10.15482/USDA.ADC/1504533</v>
      </c>
    </row>
    <row r="28">
      <c r="A28" s="3" t="s">
        <v>69</v>
      </c>
      <c r="B28" s="4">
        <v>0.29</v>
      </c>
      <c r="C28" s="4">
        <v>0.07</v>
      </c>
      <c r="D28" s="4">
        <v>0.34</v>
      </c>
      <c r="E28" s="4">
        <v>427.0</v>
      </c>
      <c r="F28" s="4">
        <v>58.7</v>
      </c>
      <c r="G28" s="4">
        <v>13.0</v>
      </c>
      <c r="H28" s="4">
        <v>1.3</v>
      </c>
      <c r="I28" s="4">
        <v>0.3</v>
      </c>
      <c r="J28" s="5">
        <v>35.0</v>
      </c>
      <c r="K28" s="6">
        <v>1.0</v>
      </c>
      <c r="L28" s="6">
        <v>8.0</v>
      </c>
      <c r="M28" s="7">
        <v>15.0</v>
      </c>
      <c r="N28" s="7">
        <v>0.0</v>
      </c>
      <c r="O28" s="6">
        <v>0.0</v>
      </c>
      <c r="P28" s="3" t="s">
        <v>70</v>
      </c>
      <c r="Q28" s="8" t="str">
        <f t="shared" si="1"/>
        <v>10.15482/USDA.ADC/1504533</v>
      </c>
    </row>
    <row r="29">
      <c r="A29" s="3" t="s">
        <v>71</v>
      </c>
      <c r="B29" s="4">
        <v>0.09</v>
      </c>
      <c r="C29" s="4">
        <v>0.06</v>
      </c>
      <c r="D29" s="4">
        <v>0.13</v>
      </c>
      <c r="E29" s="4">
        <v>237.0</v>
      </c>
      <c r="F29" s="4">
        <v>69.7</v>
      </c>
      <c r="G29" s="4">
        <v>15.0</v>
      </c>
      <c r="H29" s="4">
        <v>1.2</v>
      </c>
      <c r="I29" s="4">
        <v>0.2</v>
      </c>
      <c r="J29" s="5">
        <v>60.0</v>
      </c>
      <c r="K29" s="6">
        <v>3.0</v>
      </c>
      <c r="L29" s="6">
        <v>12.0</v>
      </c>
      <c r="M29" s="7">
        <v>0.0</v>
      </c>
      <c r="N29" s="7">
        <v>0.0</v>
      </c>
      <c r="O29" s="6">
        <v>0.0</v>
      </c>
      <c r="P29" s="3" t="s">
        <v>72</v>
      </c>
      <c r="Q29" s="8" t="str">
        <f t="shared" si="1"/>
        <v>10.15482/USDA.ADC/1504533</v>
      </c>
    </row>
    <row r="30">
      <c r="A30" s="3" t="s">
        <v>73</v>
      </c>
      <c r="B30" s="4">
        <v>0.12</v>
      </c>
      <c r="C30" s="4">
        <v>0.03</v>
      </c>
      <c r="D30" s="4">
        <v>0.36</v>
      </c>
      <c r="E30" s="4">
        <v>264.0</v>
      </c>
      <c r="F30" s="4">
        <v>88.3</v>
      </c>
      <c r="G30" s="4">
        <v>16.0</v>
      </c>
      <c r="H30" s="4">
        <v>0.7</v>
      </c>
      <c r="I30" s="4">
        <v>0.4</v>
      </c>
      <c r="J30" s="5">
        <v>40.0</v>
      </c>
      <c r="K30" s="6">
        <v>2.0</v>
      </c>
      <c r="L30" s="6">
        <v>8.0</v>
      </c>
      <c r="M30" s="7">
        <v>3.0</v>
      </c>
      <c r="N30" s="7">
        <v>0.0</v>
      </c>
      <c r="O30" s="6">
        <v>0.0</v>
      </c>
      <c r="P30" s="3" t="s">
        <v>74</v>
      </c>
      <c r="Q30" s="8" t="str">
        <f t="shared" si="1"/>
        <v>10.15482/USDA.ADC/1504533</v>
      </c>
    </row>
    <row r="31">
      <c r="A31" s="3" t="s">
        <v>75</v>
      </c>
      <c r="B31" s="4">
        <v>0.02</v>
      </c>
      <c r="C31" s="4">
        <v>0.02</v>
      </c>
      <c r="D31" s="4">
        <v>0.29</v>
      </c>
      <c r="E31" s="4">
        <v>63.0</v>
      </c>
      <c r="F31" s="4">
        <v>5.4</v>
      </c>
      <c r="G31" s="4">
        <v>4.2</v>
      </c>
      <c r="H31" s="4">
        <v>0.4</v>
      </c>
      <c r="I31" s="4">
        <v>0.1</v>
      </c>
      <c r="J31" s="5">
        <v>15.0</v>
      </c>
      <c r="K31" s="6">
        <v>2.0</v>
      </c>
      <c r="L31" s="6">
        <v>2.0</v>
      </c>
      <c r="M31" s="7">
        <v>0.0</v>
      </c>
      <c r="N31" s="7">
        <v>0.0</v>
      </c>
      <c r="O31" s="6">
        <v>0.0</v>
      </c>
      <c r="P31" s="3" t="s">
        <v>64</v>
      </c>
      <c r="Q31" s="8" t="str">
        <f t="shared" si="1"/>
        <v>10.15482/USDA.ADC/1504533</v>
      </c>
    </row>
    <row r="32">
      <c r="A32" s="3" t="s">
        <v>76</v>
      </c>
      <c r="B32" s="4">
        <v>0.26</v>
      </c>
      <c r="C32" s="4">
        <v>0.1</v>
      </c>
      <c r="D32" s="4">
        <v>0.38</v>
      </c>
      <c r="E32" s="4">
        <v>285.0</v>
      </c>
      <c r="F32" s="4">
        <v>9.9</v>
      </c>
      <c r="G32" s="4">
        <v>14.0</v>
      </c>
      <c r="H32" s="4">
        <v>1.4</v>
      </c>
      <c r="I32" s="4">
        <v>0.4</v>
      </c>
      <c r="J32" s="5">
        <v>60.0</v>
      </c>
      <c r="K32" s="6">
        <v>2.0</v>
      </c>
      <c r="L32" s="6">
        <v>13.0</v>
      </c>
      <c r="M32" s="7">
        <v>0.0</v>
      </c>
      <c r="N32" s="7">
        <v>0.0</v>
      </c>
      <c r="O32" s="6">
        <v>0.0</v>
      </c>
      <c r="P32" s="3" t="s">
        <v>77</v>
      </c>
      <c r="Q32" s="8" t="str">
        <f t="shared" si="1"/>
        <v>10.15482/USDA.ADC/1504533</v>
      </c>
    </row>
    <row r="33">
      <c r="A33" s="3" t="s">
        <v>78</v>
      </c>
      <c r="B33" s="4">
        <v>0.18</v>
      </c>
      <c r="C33" s="4">
        <v>0.15</v>
      </c>
      <c r="D33" s="4">
        <v>0.32</v>
      </c>
      <c r="E33" s="4">
        <v>206.0</v>
      </c>
      <c r="F33" s="4">
        <v>7.6</v>
      </c>
      <c r="G33" s="4">
        <v>27.0</v>
      </c>
      <c r="H33" s="4">
        <v>0.6</v>
      </c>
      <c r="I33" s="4">
        <v>0.2</v>
      </c>
      <c r="J33" s="5">
        <v>100.0</v>
      </c>
      <c r="K33" s="6">
        <v>6.0</v>
      </c>
      <c r="L33" s="6">
        <v>17.0</v>
      </c>
      <c r="M33" s="7">
        <v>1.0</v>
      </c>
      <c r="N33" s="7">
        <v>0.0</v>
      </c>
      <c r="O33" s="6">
        <v>0.0</v>
      </c>
      <c r="P33" s="3" t="s">
        <v>79</v>
      </c>
      <c r="Q33" s="8" t="str">
        <f t="shared" si="1"/>
        <v>10.15482/USDA.ADC/1504533</v>
      </c>
    </row>
    <row r="34">
      <c r="A34" s="3" t="s">
        <v>80</v>
      </c>
      <c r="B34" s="4">
        <v>0.18</v>
      </c>
      <c r="C34" s="4">
        <v>0.19</v>
      </c>
      <c r="D34" s="4">
        <v>0.25</v>
      </c>
      <c r="E34" s="4">
        <v>270.0</v>
      </c>
      <c r="F34" s="4">
        <v>12.6</v>
      </c>
      <c r="G34" s="4">
        <v>31.0</v>
      </c>
      <c r="H34" s="4">
        <v>1.0</v>
      </c>
      <c r="I34" s="4">
        <v>0.3</v>
      </c>
      <c r="J34" s="5">
        <v>120.0</v>
      </c>
      <c r="K34" s="6">
        <v>6.0</v>
      </c>
      <c r="L34" s="6">
        <v>21.0</v>
      </c>
      <c r="M34" s="7">
        <v>1.0</v>
      </c>
      <c r="N34" s="7">
        <v>0.0</v>
      </c>
      <c r="O34" s="6">
        <v>0.0</v>
      </c>
      <c r="P34" s="3" t="s">
        <v>81</v>
      </c>
      <c r="Q34" s="8" t="str">
        <f t="shared" si="1"/>
        <v>10.15482/USDA.ADC/1504533</v>
      </c>
    </row>
    <row r="35">
      <c r="A35" s="3" t="s">
        <v>82</v>
      </c>
      <c r="B35" s="4">
        <v>0.2</v>
      </c>
      <c r="C35" s="4">
        <v>0.18</v>
      </c>
      <c r="D35" s="4">
        <v>0.48</v>
      </c>
      <c r="E35" s="4">
        <v>180.0</v>
      </c>
      <c r="F35" s="4">
        <v>78.9</v>
      </c>
      <c r="G35" s="4">
        <v>22.0</v>
      </c>
      <c r="H35" s="4">
        <v>0.9</v>
      </c>
      <c r="I35" s="4">
        <v>0.2</v>
      </c>
      <c r="J35" s="5">
        <v>80.0</v>
      </c>
      <c r="K35" s="6">
        <v>2.0</v>
      </c>
      <c r="L35" s="6">
        <v>16.0</v>
      </c>
      <c r="M35" s="7">
        <v>2.0</v>
      </c>
      <c r="N35" s="7">
        <v>0.0</v>
      </c>
      <c r="O35" s="6">
        <v>0.0</v>
      </c>
      <c r="P35" s="3" t="s">
        <v>60</v>
      </c>
      <c r="Q35" s="8" t="str">
        <f t="shared" si="1"/>
        <v>10.15482/USDA.ADC/1504533</v>
      </c>
    </row>
    <row r="36">
      <c r="A36" s="3" t="s">
        <v>83</v>
      </c>
      <c r="B36" s="4">
        <v>0.3</v>
      </c>
      <c r="C36" s="4">
        <v>0.1</v>
      </c>
      <c r="D36" s="4">
        <v>1.3</v>
      </c>
      <c r="E36" s="4">
        <v>230.0</v>
      </c>
      <c r="F36" s="4">
        <v>9.0</v>
      </c>
      <c r="G36" s="4">
        <v>22.0</v>
      </c>
      <c r="H36" s="4">
        <v>2.0</v>
      </c>
      <c r="I36" s="4">
        <v>1.5</v>
      </c>
      <c r="J36" s="5">
        <v>60.0</v>
      </c>
      <c r="K36" s="6">
        <v>3.0</v>
      </c>
      <c r="L36" s="6">
        <v>8.0</v>
      </c>
      <c r="M36" s="7">
        <v>0.0</v>
      </c>
      <c r="N36" s="7">
        <v>0.0</v>
      </c>
      <c r="O36" s="6">
        <v>0.0</v>
      </c>
      <c r="P36" s="3" t="s">
        <v>44</v>
      </c>
      <c r="Q36" s="8" t="str">
        <f t="shared" si="1"/>
        <v>10.15482/USDA.ADC/1504533</v>
      </c>
    </row>
    <row r="37">
      <c r="A37" s="3" t="s">
        <v>84</v>
      </c>
      <c r="B37" s="4">
        <v>0.07</v>
      </c>
      <c r="C37" s="4">
        <v>0.04</v>
      </c>
      <c r="D37" s="4">
        <v>0.11</v>
      </c>
      <c r="E37" s="4">
        <v>104.0</v>
      </c>
      <c r="F37" s="4">
        <v>6.3</v>
      </c>
      <c r="G37" s="4">
        <v>7.5</v>
      </c>
      <c r="H37" s="4">
        <v>0.5</v>
      </c>
      <c r="I37" s="4">
        <v>0.2</v>
      </c>
      <c r="J37" s="5">
        <v>30.0</v>
      </c>
      <c r="K37" s="6">
        <v>1.0</v>
      </c>
      <c r="L37" s="6">
        <v>7.0</v>
      </c>
      <c r="M37" s="7">
        <v>0.0</v>
      </c>
      <c r="N37" s="7">
        <v>0.0</v>
      </c>
      <c r="O37" s="6">
        <v>0.0</v>
      </c>
      <c r="P37" s="3" t="s">
        <v>85</v>
      </c>
      <c r="Q37" s="8" t="str">
        <f t="shared" si="1"/>
        <v>10.15482/USDA.ADC/1504533</v>
      </c>
    </row>
    <row r="38">
      <c r="A38" s="3" t="s">
        <v>86</v>
      </c>
      <c r="B38" s="4">
        <v>0.15</v>
      </c>
      <c r="C38" s="4">
        <v>0.09</v>
      </c>
      <c r="D38" s="4">
        <v>0.21</v>
      </c>
      <c r="E38" s="4">
        <v>410.0</v>
      </c>
      <c r="F38" s="4">
        <v>116.0</v>
      </c>
      <c r="G38" s="4">
        <v>18.0</v>
      </c>
      <c r="H38" s="4">
        <v>1.4</v>
      </c>
      <c r="I38" s="4">
        <v>0.1</v>
      </c>
      <c r="J38" s="5">
        <v>70.0</v>
      </c>
      <c r="K38" s="6">
        <v>2.0</v>
      </c>
      <c r="L38" s="6">
        <v>15.0</v>
      </c>
      <c r="M38" s="7">
        <v>2.0</v>
      </c>
      <c r="N38" s="7">
        <v>0.0</v>
      </c>
      <c r="O38" s="6">
        <v>0.0</v>
      </c>
      <c r="P38" s="3" t="s">
        <v>72</v>
      </c>
      <c r="Q38" s="8" t="str">
        <f t="shared" si="1"/>
        <v>10.15482/USDA.ADC/1504533</v>
      </c>
    </row>
    <row r="39">
      <c r="A39" s="3" t="s">
        <v>87</v>
      </c>
      <c r="B39" s="4">
        <v>0.3</v>
      </c>
      <c r="C39" s="4">
        <v>0.14</v>
      </c>
      <c r="D39" s="4">
        <v>0.26</v>
      </c>
      <c r="E39" s="4">
        <v>205.0</v>
      </c>
      <c r="F39" s="4">
        <v>8.9</v>
      </c>
      <c r="G39" s="4">
        <v>16.0</v>
      </c>
      <c r="H39" s="4">
        <v>1.5</v>
      </c>
      <c r="I39" s="4">
        <v>1.0</v>
      </c>
      <c r="J39" s="5">
        <v>230.0</v>
      </c>
      <c r="K39" s="6">
        <v>11.0</v>
      </c>
      <c r="L39" s="6">
        <v>39.0</v>
      </c>
      <c r="M39" s="7">
        <v>8.0</v>
      </c>
      <c r="N39" s="7">
        <v>0.0</v>
      </c>
      <c r="O39" s="6">
        <v>0.0</v>
      </c>
      <c r="P39" s="3" t="s">
        <v>88</v>
      </c>
      <c r="Q39" s="8" t="str">
        <f t="shared" si="1"/>
        <v>10.15482/USDA.ADC/1504533</v>
      </c>
    </row>
    <row r="40">
      <c r="A40" s="3" t="s">
        <v>89</v>
      </c>
      <c r="B40" s="4">
        <v>0.37</v>
      </c>
      <c r="C40" s="4">
        <v>0.15</v>
      </c>
      <c r="D40" s="4">
        <v>0.93</v>
      </c>
      <c r="E40" s="4">
        <v>394.0</v>
      </c>
      <c r="F40" s="4">
        <v>10.4</v>
      </c>
      <c r="G40" s="4">
        <v>8.0</v>
      </c>
      <c r="H40" s="4">
        <v>1.2</v>
      </c>
      <c r="I40" s="4">
        <v>0.1</v>
      </c>
      <c r="J40" s="5">
        <v>30.0</v>
      </c>
      <c r="K40" s="6">
        <v>1.0</v>
      </c>
      <c r="L40" s="6">
        <v>3.0</v>
      </c>
      <c r="M40" s="7">
        <v>1.0</v>
      </c>
      <c r="N40" s="7">
        <v>0.0</v>
      </c>
      <c r="O40" s="6">
        <v>0.0</v>
      </c>
      <c r="P40" s="3" t="s">
        <v>90</v>
      </c>
      <c r="Q40" s="8" t="str">
        <f t="shared" si="1"/>
        <v>10.15482/USDA.ADC/1504533</v>
      </c>
    </row>
    <row r="41">
      <c r="A41" s="3" t="s">
        <v>91</v>
      </c>
      <c r="B41" s="4">
        <v>0.52</v>
      </c>
      <c r="C41" s="4">
        <v>0.11</v>
      </c>
      <c r="D41" s="4">
        <v>0.85</v>
      </c>
      <c r="E41" s="4">
        <v>186.0</v>
      </c>
      <c r="F41" s="4">
        <v>32.2</v>
      </c>
      <c r="G41" s="4">
        <v>15.0</v>
      </c>
      <c r="H41" s="4">
        <v>1.5</v>
      </c>
      <c r="I41" s="4">
        <v>0.8</v>
      </c>
      <c r="J41" s="5">
        <v>65.0</v>
      </c>
      <c r="K41" s="6">
        <v>8.0</v>
      </c>
      <c r="L41" s="6">
        <v>5.0</v>
      </c>
      <c r="M41" s="7">
        <v>1.0</v>
      </c>
      <c r="N41" s="7">
        <v>0.0</v>
      </c>
      <c r="O41" s="6">
        <v>0.0</v>
      </c>
      <c r="P41" s="3" t="s">
        <v>28</v>
      </c>
      <c r="Q41" s="8" t="str">
        <f t="shared" si="1"/>
        <v>10.15482/USDA.ADC/1504533</v>
      </c>
    </row>
    <row r="42">
      <c r="A42" s="3" t="s">
        <v>92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5"/>
      <c r="K42" s="6"/>
      <c r="L42" s="6"/>
      <c r="M42" s="7"/>
      <c r="N42" s="7"/>
      <c r="O42" s="6"/>
      <c r="P42" s="3" t="s">
        <v>93</v>
      </c>
      <c r="Q42" s="3" t="s">
        <v>93</v>
      </c>
    </row>
    <row r="43">
      <c r="A43" s="3" t="s">
        <v>94</v>
      </c>
      <c r="B43" s="4">
        <v>0.17</v>
      </c>
      <c r="C43" s="4">
        <v>0.15</v>
      </c>
      <c r="D43" s="4">
        <v>1.36</v>
      </c>
      <c r="E43" s="4">
        <v>328.0</v>
      </c>
      <c r="F43" s="4">
        <v>25.0</v>
      </c>
      <c r="G43" s="4">
        <v>34.0</v>
      </c>
      <c r="H43" s="4">
        <v>0.7</v>
      </c>
      <c r="I43" s="4">
        <v>1.9</v>
      </c>
      <c r="J43" s="5">
        <v>140.0</v>
      </c>
      <c r="K43" s="6">
        <v>9.0</v>
      </c>
      <c r="L43" s="6">
        <v>34.0</v>
      </c>
      <c r="M43" s="7">
        <v>20.0</v>
      </c>
      <c r="N43" s="7">
        <v>0.0</v>
      </c>
      <c r="O43" s="6">
        <v>0.0</v>
      </c>
      <c r="P43" s="3" t="s">
        <v>58</v>
      </c>
      <c r="Q43" s="8" t="str">
        <f t="shared" ref="Q43:Q47" si="2">HYPERLINK("https://doi.org/10.15482/USDA.ADC/1504533", "10.15482/USDA.ADC/1504533")</f>
        <v>10.15482/USDA.ADC/1504533</v>
      </c>
    </row>
    <row r="44">
      <c r="A44" s="3" t="s">
        <v>95</v>
      </c>
      <c r="B44" s="4">
        <v>0.2</v>
      </c>
      <c r="C44" s="4">
        <v>0.07</v>
      </c>
      <c r="D44" s="4">
        <v>0.59</v>
      </c>
      <c r="E44" s="4">
        <v>220.0</v>
      </c>
      <c r="F44" s="4">
        <v>84.7</v>
      </c>
      <c r="G44" s="4">
        <v>11.0</v>
      </c>
      <c r="H44" s="4">
        <v>1.0</v>
      </c>
      <c r="I44" s="4">
        <v>0.4</v>
      </c>
      <c r="J44" s="5">
        <v>50.0</v>
      </c>
      <c r="K44" s="6">
        <v>3.0</v>
      </c>
      <c r="L44" s="6">
        <v>7.0</v>
      </c>
      <c r="M44" s="7">
        <v>1.0</v>
      </c>
      <c r="N44" s="7">
        <v>0.0</v>
      </c>
      <c r="O44" s="6">
        <v>0.0</v>
      </c>
      <c r="P44" s="3" t="s">
        <v>60</v>
      </c>
      <c r="Q44" s="8" t="str">
        <f t="shared" si="2"/>
        <v>10.15482/USDA.ADC/1504533</v>
      </c>
    </row>
    <row r="45">
      <c r="A45" s="3" t="s">
        <v>96</v>
      </c>
      <c r="B45" s="4">
        <v>0.06</v>
      </c>
      <c r="C45" s="4">
        <v>0.04</v>
      </c>
      <c r="D45" s="4">
        <v>0.13</v>
      </c>
      <c r="E45" s="4">
        <v>146.0</v>
      </c>
      <c r="F45" s="4">
        <v>23.5</v>
      </c>
      <c r="G45" s="4">
        <v>12.0</v>
      </c>
      <c r="H45" s="4">
        <v>0.7</v>
      </c>
      <c r="I45" s="4">
        <v>0.3</v>
      </c>
      <c r="J45" s="5">
        <v>50.0</v>
      </c>
      <c r="K45" s="6">
        <v>2.0</v>
      </c>
      <c r="L45" s="6">
        <v>11.0</v>
      </c>
      <c r="M45" s="7">
        <v>2.0</v>
      </c>
      <c r="N45" s="7">
        <v>0.0</v>
      </c>
      <c r="O45" s="6">
        <v>0.0</v>
      </c>
      <c r="P45" s="3" t="s">
        <v>97</v>
      </c>
      <c r="Q45" s="8" t="str">
        <f t="shared" si="2"/>
        <v>10.15482/USDA.ADC/1504533</v>
      </c>
    </row>
    <row r="46">
      <c r="A46" s="3" t="s">
        <v>98</v>
      </c>
      <c r="B46" s="4">
        <v>0.21</v>
      </c>
      <c r="C46" s="4">
        <v>0.07</v>
      </c>
      <c r="D46" s="4">
        <v>0.33</v>
      </c>
      <c r="E46" s="4">
        <v>292.0</v>
      </c>
      <c r="F46" s="4">
        <v>16.9</v>
      </c>
      <c r="G46" s="4">
        <v>4.8</v>
      </c>
      <c r="H46" s="4">
        <v>1.1</v>
      </c>
      <c r="I46" s="4">
        <v>0.2</v>
      </c>
      <c r="J46" s="5">
        <v>20.0</v>
      </c>
      <c r="K46" s="6">
        <v>1.0</v>
      </c>
      <c r="L46" s="6">
        <v>3.0</v>
      </c>
      <c r="M46" s="7">
        <v>5.0</v>
      </c>
      <c r="N46" s="7">
        <v>0.0</v>
      </c>
      <c r="O46" s="6">
        <v>0.0</v>
      </c>
      <c r="P46" s="3" t="s">
        <v>99</v>
      </c>
      <c r="Q46" s="8" t="str">
        <f t="shared" si="2"/>
        <v>10.15482/USDA.ADC/1504533</v>
      </c>
    </row>
    <row r="47">
      <c r="A47" s="3" t="s">
        <v>100</v>
      </c>
      <c r="B47" s="4">
        <v>0.15</v>
      </c>
      <c r="C47" s="4">
        <v>0.06</v>
      </c>
      <c r="D47" s="4">
        <v>0.36</v>
      </c>
      <c r="E47" s="4">
        <v>170.0</v>
      </c>
      <c r="F47" s="4">
        <v>12.3</v>
      </c>
      <c r="G47" s="4">
        <v>11.0</v>
      </c>
      <c r="H47" s="4">
        <v>0.9</v>
      </c>
      <c r="I47" s="4">
        <v>0.2</v>
      </c>
      <c r="J47" s="5">
        <v>45.0</v>
      </c>
      <c r="K47" s="6">
        <v>1.0</v>
      </c>
      <c r="L47" s="6">
        <v>9.0</v>
      </c>
      <c r="M47" s="7">
        <v>1.0</v>
      </c>
      <c r="N47" s="7">
        <v>0.0</v>
      </c>
      <c r="O47" s="6">
        <v>0.0</v>
      </c>
      <c r="P47" s="3" t="s">
        <v>101</v>
      </c>
      <c r="Q47" s="8" t="str">
        <f t="shared" si="2"/>
        <v>10.15482/USDA.ADC/1504533</v>
      </c>
    </row>
    <row r="48">
      <c r="A48" s="9">
        <v>46146.30932359953</v>
      </c>
      <c r="B48" s="3" t="s">
        <v>102</v>
      </c>
      <c r="C48" s="3">
        <v>0.92</v>
      </c>
    </row>
    <row r="49">
      <c r="A49" s="9">
        <v>46146.30941802083</v>
      </c>
      <c r="B49" s="3" t="s">
        <v>102</v>
      </c>
      <c r="C49" s="3">
        <v>0.98</v>
      </c>
    </row>
    <row r="50">
      <c r="A50" s="9">
        <v>46146.30948408565</v>
      </c>
      <c r="B50" s="3" t="s">
        <v>103</v>
      </c>
      <c r="C50" s="3">
        <v>0.91</v>
      </c>
    </row>
    <row r="51">
      <c r="A51" s="9">
        <v>46146.30954451389</v>
      </c>
      <c r="B51" s="3" t="s">
        <v>103</v>
      </c>
      <c r="C51" s="3">
        <v>0.93</v>
      </c>
    </row>
    <row r="52">
      <c r="A52" s="9">
        <v>46146.30960928241</v>
      </c>
      <c r="B52" s="3" t="s">
        <v>103</v>
      </c>
      <c r="C52" s="3">
        <v>0.92</v>
      </c>
    </row>
    <row r="53">
      <c r="A53" s="9">
        <v>46146.30969096065</v>
      </c>
      <c r="B53" s="3" t="s">
        <v>103</v>
      </c>
      <c r="C53" s="3">
        <v>0.92</v>
      </c>
    </row>
    <row r="54">
      <c r="A54" s="9">
        <v>46146.30973489583</v>
      </c>
      <c r="B54" s="3" t="s">
        <v>103</v>
      </c>
      <c r="C54" s="3">
        <v>0.95</v>
      </c>
    </row>
    <row r="55">
      <c r="A55" s="9">
        <v>46146.30993914352</v>
      </c>
      <c r="B55" s="3" t="s">
        <v>103</v>
      </c>
      <c r="C55" s="3">
        <v>0.96</v>
      </c>
    </row>
    <row r="56">
      <c r="A56" s="9">
        <v>46146.31486309027</v>
      </c>
      <c r="B56" s="3" t="s">
        <v>103</v>
      </c>
      <c r="C56" s="3">
        <v>0.94</v>
      </c>
    </row>
    <row r="57">
      <c r="A57" s="9">
        <v>46146.3299972338</v>
      </c>
      <c r="B57" s="3" t="s">
        <v>102</v>
      </c>
      <c r="C57" s="3">
        <v>0.99</v>
      </c>
    </row>
    <row r="58">
      <c r="A58" s="9">
        <v>46146.33004748843</v>
      </c>
      <c r="B58" s="3" t="s">
        <v>102</v>
      </c>
      <c r="C58" s="3">
        <v>0.92</v>
      </c>
    </row>
    <row r="59">
      <c r="A59" s="9">
        <v>46146.330101354164</v>
      </c>
      <c r="B59" s="3" t="s">
        <v>102</v>
      </c>
      <c r="C59" s="3">
        <v>0.96</v>
      </c>
    </row>
    <row r="60">
      <c r="A60" s="9">
        <v>46146.33023197917</v>
      </c>
      <c r="B60" s="3" t="s">
        <v>102</v>
      </c>
      <c r="C60" s="3">
        <v>0.92</v>
      </c>
    </row>
    <row r="61">
      <c r="A61" s="9">
        <v>46146.33044356482</v>
      </c>
      <c r="B61" s="3" t="s">
        <v>102</v>
      </c>
      <c r="C61" s="3">
        <v>0.95</v>
      </c>
    </row>
    <row r="62">
      <c r="A62" s="9">
        <v>46146.33050848379</v>
      </c>
      <c r="B62" s="3" t="s">
        <v>102</v>
      </c>
      <c r="C62" s="3">
        <v>0.91</v>
      </c>
    </row>
    <row r="63">
      <c r="A63" s="9">
        <v>46146.33056342593</v>
      </c>
      <c r="B63" s="3" t="s">
        <v>103</v>
      </c>
      <c r="C63" s="3">
        <v>0.91</v>
      </c>
    </row>
    <row r="64">
      <c r="A64" s="9">
        <v>46146.33065193287</v>
      </c>
      <c r="B64" s="3" t="s">
        <v>102</v>
      </c>
      <c r="C64" s="3">
        <v>0.92</v>
      </c>
    </row>
    <row r="65">
      <c r="A65" s="9">
        <v>46146.33073515046</v>
      </c>
      <c r="B65" s="3" t="s">
        <v>102</v>
      </c>
      <c r="C65" s="3">
        <v>1.0</v>
      </c>
    </row>
    <row r="66">
      <c r="A66" s="9">
        <v>46146.34053821759</v>
      </c>
      <c r="B66" s="3" t="s">
        <v>102</v>
      </c>
      <c r="C66" s="3">
        <v>0.91</v>
      </c>
    </row>
    <row r="67">
      <c r="A67" s="9">
        <v>46146.34060244213</v>
      </c>
      <c r="B67" s="3" t="s">
        <v>102</v>
      </c>
      <c r="C67" s="3">
        <v>0.92</v>
      </c>
    </row>
    <row r="68">
      <c r="A68" s="9">
        <v>46146.34069784722</v>
      </c>
      <c r="B68" s="3" t="s">
        <v>102</v>
      </c>
      <c r="C68" s="3">
        <v>0.93</v>
      </c>
    </row>
    <row r="69">
      <c r="A69" s="9">
        <v>46146.340972094906</v>
      </c>
      <c r="B69" s="3" t="s">
        <v>102</v>
      </c>
      <c r="C69" s="3">
        <v>0.97</v>
      </c>
    </row>
    <row r="70">
      <c r="A70" s="9">
        <v>46146.34277967592</v>
      </c>
      <c r="B70" s="3" t="s">
        <v>103</v>
      </c>
      <c r="C70" s="3">
        <v>0.91</v>
      </c>
    </row>
    <row r="71">
      <c r="A71" s="9">
        <v>46146.342949618054</v>
      </c>
      <c r="B71" s="3" t="s">
        <v>103</v>
      </c>
      <c r="C71" s="3">
        <v>0.98</v>
      </c>
    </row>
    <row r="72">
      <c r="A72" s="9">
        <v>46146.343065891204</v>
      </c>
      <c r="B72" s="3" t="s">
        <v>103</v>
      </c>
      <c r="C72" s="3">
        <v>0.93</v>
      </c>
    </row>
    <row r="73">
      <c r="A73" s="9">
        <v>46146.35588045139</v>
      </c>
      <c r="B73" s="3" t="s">
        <v>103</v>
      </c>
      <c r="C73" s="10">
        <v>0.93</v>
      </c>
    </row>
    <row r="74">
      <c r="A74" s="9">
        <v>46146.35605447917</v>
      </c>
      <c r="B74" s="3" t="s">
        <v>102</v>
      </c>
      <c r="C74" s="10">
        <v>0.93</v>
      </c>
    </row>
    <row r="75">
      <c r="A75" s="9">
        <v>46146.3561641088</v>
      </c>
      <c r="B75" s="3" t="s">
        <v>102</v>
      </c>
      <c r="C75" s="10">
        <v>0.92</v>
      </c>
    </row>
    <row r="76">
      <c r="A76" s="9">
        <v>46146.35622002315</v>
      </c>
      <c r="B76" s="3" t="s">
        <v>102</v>
      </c>
      <c r="C76" s="10">
        <v>0.91</v>
      </c>
    </row>
    <row r="77">
      <c r="A77" s="9">
        <v>46146.35633038194</v>
      </c>
      <c r="B77" s="3" t="s">
        <v>102</v>
      </c>
      <c r="C77" s="10">
        <v>0.94</v>
      </c>
    </row>
    <row r="78">
      <c r="A78" s="9">
        <v>46146.356817418986</v>
      </c>
      <c r="B78" s="3" t="s">
        <v>103</v>
      </c>
      <c r="C78" s="10">
        <v>0.91</v>
      </c>
    </row>
    <row r="79">
      <c r="A79" s="9">
        <v>46146.35890479167</v>
      </c>
      <c r="B79" s="3" t="s">
        <v>104</v>
      </c>
      <c r="C79" s="10">
        <v>0.97</v>
      </c>
    </row>
    <row r="80">
      <c r="A80" s="9">
        <v>46146.366522743054</v>
      </c>
      <c r="B80" s="3" t="s">
        <v>104</v>
      </c>
      <c r="C80" s="10">
        <v>0.49</v>
      </c>
    </row>
    <row r="81">
      <c r="A81" s="9">
        <v>46146.37025638889</v>
      </c>
      <c r="B81" s="3" t="s">
        <v>104</v>
      </c>
      <c r="C81" s="10">
        <v>0.7</v>
      </c>
    </row>
  </sheetData>
  <drawing r:id="rId1"/>
</worksheet>
</file>